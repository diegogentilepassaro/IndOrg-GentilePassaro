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gentil1/Desktop/Diego/Brown/Industrial Organization/Industrial Organization/assignment_1/code/"/>
    </mc:Choice>
  </mc:AlternateContent>
  <xr:revisionPtr revIDLastSave="0" documentId="13_ncr:1_{A1FFADEF-BB87-D44E-A016-0E31873FF014}" xr6:coauthVersionLast="45" xr6:coauthVersionMax="45" xr10:uidLastSave="{00000000-0000-0000-0000-000000000000}"/>
  <bookViews>
    <workbookView xWindow="28800" yWindow="460" windowWidth="38400" windowHeight="21140" xr2:uid="{6C9545F0-4641-4343-B15E-0F3CD4B040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4" i="1" l="1"/>
  <c r="K26" i="1"/>
  <c r="N23" i="1"/>
  <c r="K24" i="1"/>
  <c r="K25" i="1"/>
  <c r="K23" i="1"/>
  <c r="H25" i="1"/>
  <c r="H24" i="1"/>
  <c r="H23" i="1"/>
  <c r="E28" i="1"/>
  <c r="E27" i="1"/>
  <c r="E23" i="1"/>
  <c r="E24" i="1"/>
  <c r="B29" i="1"/>
  <c r="B28" i="1"/>
  <c r="B26" i="1"/>
  <c r="B25" i="1"/>
  <c r="B23" i="1"/>
  <c r="B22" i="1"/>
  <c r="K12" i="1"/>
  <c r="K9" i="1"/>
  <c r="G9" i="1"/>
  <c r="H9" i="1" s="1"/>
  <c r="H8" i="1"/>
  <c r="K8" i="1"/>
  <c r="G8" i="1"/>
  <c r="C18" i="1"/>
  <c r="C5" i="1"/>
</calcChain>
</file>

<file path=xl/sharedStrings.xml><?xml version="1.0" encoding="utf-8"?>
<sst xmlns="http://schemas.openxmlformats.org/spreadsheetml/2006/main" count="64" uniqueCount="48">
  <si>
    <t>Circulation</t>
  </si>
  <si>
    <t>Advertising</t>
  </si>
  <si>
    <t>News-editiorial</t>
  </si>
  <si>
    <t>Circulation &amp; Distribution</t>
  </si>
  <si>
    <t>Chemical engraving</t>
  </si>
  <si>
    <t>Business office</t>
  </si>
  <si>
    <t>Building</t>
  </si>
  <si>
    <t>Mechanical</t>
  </si>
  <si>
    <t>Ready-print color-comic</t>
  </si>
  <si>
    <t>Newsprint Ink &amp; handling</t>
  </si>
  <si>
    <t>Admin &amp; other</t>
  </si>
  <si>
    <t>Total</t>
  </si>
  <si>
    <t>Number of suscribers</t>
  </si>
  <si>
    <t>Cost Type</t>
  </si>
  <si>
    <t>Variable</t>
  </si>
  <si>
    <t>Fixed</t>
  </si>
  <si>
    <t>Revenue Type</t>
  </si>
  <si>
    <t>Revenue</t>
  </si>
  <si>
    <t>Cost</t>
  </si>
  <si>
    <t>Variable revenue</t>
  </si>
  <si>
    <t>Fixed revenue</t>
  </si>
  <si>
    <t>Variable cost</t>
  </si>
  <si>
    <t>Fixed cost</t>
  </si>
  <si>
    <t>Per suscriber</t>
  </si>
  <si>
    <t>Net fixed cost</t>
  </si>
  <si>
    <t>a)</t>
  </si>
  <si>
    <t>Monopolist price</t>
  </si>
  <si>
    <t>Marginal cost</t>
  </si>
  <si>
    <t>Elasticity of demand at monopolist price</t>
  </si>
  <si>
    <t xml:space="preserve">With a 1% price drop, the number of subscribers increases by </t>
  </si>
  <si>
    <t>b)</t>
  </si>
  <si>
    <t>Monopolist profits</t>
  </si>
  <si>
    <t xml:space="preserve">Monopolist profits after regulation </t>
  </si>
  <si>
    <t>Regulator price</t>
  </si>
  <si>
    <t>New quantity of subscribers</t>
  </si>
  <si>
    <t>Change in profits</t>
  </si>
  <si>
    <t>% change in profits</t>
  </si>
  <si>
    <t>c)</t>
  </si>
  <si>
    <t>A</t>
  </si>
  <si>
    <t>change in CS</t>
  </si>
  <si>
    <t>change in TS</t>
  </si>
  <si>
    <t>d)</t>
  </si>
  <si>
    <t>tax revenue</t>
  </si>
  <si>
    <t>Profits net of taxes</t>
  </si>
  <si>
    <t>change in profits</t>
  </si>
  <si>
    <t>e)</t>
  </si>
  <si>
    <t>Profits after  migration</t>
  </si>
  <si>
    <t>Total surplus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</si>
</sst>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9" xfId="0" applyFont="1" applyBorder="1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8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0" xfId="0" applyFont="1" applyBorder="1"/>
    <xf numFmtId="0" fontId="0" fillId="0" borderId="0" xfId="0" applyBorder="1"/>
    <xf numFmtId="0" fontId="1" fillId="0" borderId="0" xfId="0" applyFont="1" applyFill="1" applyBorder="1"/>
    <xf numFmtId="0" fontId="1" fillId="0" borderId="10" xfId="0" applyFont="1" applyFill="1" applyBorder="1"/>
    <xf numFmtId="0" fontId="1" fillId="0" borderId="11" xfId="0" applyFont="1" applyFill="1" applyBorder="1"/>
    <xf numFmtId="0" fontId="1" fillId="0" borderId="11" xfId="0" applyFont="1" applyFill="1" applyBorder="1" applyAlignment="1">
      <alignment horizontal="left"/>
    </xf>
    <xf numFmtId="0" fontId="1" fillId="0" borderId="2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DF69-9839-A342-A992-75B533A4F632}">
  <dimension ref="A1:N29"/>
  <sheetViews>
    <sheetView tabSelected="1" workbookViewId="0">
      <selection activeCell="D15" sqref="D15"/>
    </sheetView>
  </sheetViews>
  <sheetFormatPr baseColWidth="10" defaultRowHeight="16" x14ac:dyDescent="0.2"/>
  <cols>
    <col min="1" max="1" width="53.1640625" bestFit="1" customWidth="1"/>
    <col min="2" max="2" width="22.33203125" bestFit="1" customWidth="1"/>
    <col min="3" max="3" width="8.33203125" bestFit="1" customWidth="1"/>
    <col min="4" max="4" width="16.33203125" bestFit="1" customWidth="1"/>
    <col min="5" max="5" width="12.1640625" bestFit="1" customWidth="1"/>
    <col min="6" max="6" width="18.83203125" bestFit="1" customWidth="1"/>
    <col min="7" max="7" width="11.5" bestFit="1" customWidth="1"/>
    <col min="8" max="8" width="11.6640625" bestFit="1" customWidth="1"/>
    <col min="9" max="9" width="12.83203125" customWidth="1"/>
    <col min="10" max="10" width="18.1640625" bestFit="1" customWidth="1"/>
    <col min="11" max="11" width="8.1640625" bestFit="1" customWidth="1"/>
    <col min="13" max="13" width="20.1640625" bestFit="1" customWidth="1"/>
  </cols>
  <sheetData>
    <row r="1" spans="2:12" ht="17" thickBot="1" x14ac:dyDescent="0.25"/>
    <row r="2" spans="2:12" ht="17" thickBot="1" x14ac:dyDescent="0.25">
      <c r="B2" s="1"/>
      <c r="C2" s="11" t="s">
        <v>17</v>
      </c>
      <c r="D2" s="11" t="s">
        <v>16</v>
      </c>
      <c r="F2" s="11" t="s">
        <v>12</v>
      </c>
      <c r="G2" s="6">
        <v>50000</v>
      </c>
    </row>
    <row r="3" spans="2:12" x14ac:dyDescent="0.2">
      <c r="B3" s="12" t="s">
        <v>1</v>
      </c>
      <c r="C3" s="3">
        <v>1565562</v>
      </c>
      <c r="D3" s="22" t="s">
        <v>15</v>
      </c>
    </row>
    <row r="4" spans="2:12" ht="17" thickBot="1" x14ac:dyDescent="0.25">
      <c r="B4" s="13" t="s">
        <v>0</v>
      </c>
      <c r="C4" s="3">
        <v>687921</v>
      </c>
      <c r="D4" s="21" t="s">
        <v>14</v>
      </c>
    </row>
    <row r="5" spans="2:12" ht="17" thickBot="1" x14ac:dyDescent="0.25">
      <c r="B5" s="11" t="s">
        <v>11</v>
      </c>
      <c r="C5" s="15">
        <f>SUM(C3:C4)</f>
        <v>2253483</v>
      </c>
    </row>
    <row r="6" spans="2:12" ht="17" thickBot="1" x14ac:dyDescent="0.25"/>
    <row r="7" spans="2:12" ht="17" thickBot="1" x14ac:dyDescent="0.25">
      <c r="B7" s="1"/>
      <c r="C7" s="11" t="s">
        <v>18</v>
      </c>
      <c r="D7" s="11" t="s">
        <v>13</v>
      </c>
      <c r="G7" s="19" t="s">
        <v>11</v>
      </c>
      <c r="H7" s="12" t="s">
        <v>23</v>
      </c>
      <c r="I7" s="16"/>
      <c r="J7" s="16"/>
      <c r="K7" s="11" t="s">
        <v>11</v>
      </c>
      <c r="L7" s="23"/>
    </row>
    <row r="8" spans="2:12" ht="17" thickBot="1" x14ac:dyDescent="0.25">
      <c r="B8" s="12" t="s">
        <v>2</v>
      </c>
      <c r="C8" s="3">
        <v>257067</v>
      </c>
      <c r="D8" s="20" t="s">
        <v>15</v>
      </c>
      <c r="F8" s="12" t="s">
        <v>19</v>
      </c>
      <c r="G8" s="23">
        <f>C4</f>
        <v>687921</v>
      </c>
      <c r="H8" s="8">
        <f>G8/$G$2</f>
        <v>13.758419999999999</v>
      </c>
      <c r="J8" s="11" t="s">
        <v>20</v>
      </c>
      <c r="K8" s="7">
        <f>C3</f>
        <v>1565562</v>
      </c>
      <c r="L8" s="23"/>
    </row>
    <row r="9" spans="2:12" ht="17" thickBot="1" x14ac:dyDescent="0.25">
      <c r="B9" s="13" t="s">
        <v>1</v>
      </c>
      <c r="C9" s="3">
        <v>240255</v>
      </c>
      <c r="D9" s="20" t="s">
        <v>15</v>
      </c>
      <c r="F9" s="11" t="s">
        <v>21</v>
      </c>
      <c r="G9" s="5">
        <f>C10+C11</f>
        <v>298559</v>
      </c>
      <c r="H9" s="7">
        <f>G9/$G$2</f>
        <v>5.9711800000000004</v>
      </c>
      <c r="J9" s="14" t="s">
        <v>22</v>
      </c>
      <c r="K9" s="10">
        <f>C8+C9+C12+C13+C14+C15+C16+C17</f>
        <v>1768438</v>
      </c>
      <c r="L9" s="23"/>
    </row>
    <row r="10" spans="2:12" ht="17" thickBot="1" x14ac:dyDescent="0.25">
      <c r="B10" s="13" t="s">
        <v>3</v>
      </c>
      <c r="C10" s="3">
        <v>277835</v>
      </c>
      <c r="D10" s="20" t="s">
        <v>14</v>
      </c>
    </row>
    <row r="11" spans="2:12" ht="17" thickBot="1" x14ac:dyDescent="0.25">
      <c r="B11" s="13" t="s">
        <v>4</v>
      </c>
      <c r="C11" s="3">
        <v>20724</v>
      </c>
      <c r="D11" s="20" t="s">
        <v>14</v>
      </c>
      <c r="K11" s="11" t="s">
        <v>11</v>
      </c>
    </row>
    <row r="12" spans="2:12" ht="17" thickBot="1" x14ac:dyDescent="0.25">
      <c r="B12" s="13" t="s">
        <v>7</v>
      </c>
      <c r="C12" s="3">
        <v>453689</v>
      </c>
      <c r="D12" s="20" t="s">
        <v>15</v>
      </c>
      <c r="J12" s="11" t="s">
        <v>24</v>
      </c>
      <c r="K12" s="6">
        <f>K9-K8</f>
        <v>202876</v>
      </c>
    </row>
    <row r="13" spans="2:12" x14ac:dyDescent="0.2">
      <c r="B13" s="13" t="s">
        <v>6</v>
      </c>
      <c r="C13" s="3">
        <v>81943</v>
      </c>
      <c r="D13" s="20" t="s">
        <v>15</v>
      </c>
    </row>
    <row r="14" spans="2:12" x14ac:dyDescent="0.2">
      <c r="B14" s="13" t="s">
        <v>5</v>
      </c>
      <c r="C14" s="3">
        <v>60542</v>
      </c>
      <c r="D14" s="20" t="s">
        <v>15</v>
      </c>
    </row>
    <row r="15" spans="2:12" x14ac:dyDescent="0.2">
      <c r="B15" s="13" t="s">
        <v>8</v>
      </c>
      <c r="C15" s="3">
        <v>56149</v>
      </c>
      <c r="D15" s="20" t="s">
        <v>15</v>
      </c>
    </row>
    <row r="16" spans="2:12" x14ac:dyDescent="0.2">
      <c r="B16" s="13" t="s">
        <v>9</v>
      </c>
      <c r="C16" s="3">
        <v>396538</v>
      </c>
      <c r="D16" s="20" t="s">
        <v>15</v>
      </c>
    </row>
    <row r="17" spans="1:14" ht="17" thickBot="1" x14ac:dyDescent="0.25">
      <c r="B17" s="14" t="s">
        <v>10</v>
      </c>
      <c r="C17" s="3">
        <v>222255</v>
      </c>
      <c r="D17" s="21" t="s">
        <v>15</v>
      </c>
    </row>
    <row r="18" spans="1:14" ht="17" thickBot="1" x14ac:dyDescent="0.25">
      <c r="B18" s="11" t="s">
        <v>11</v>
      </c>
      <c r="C18" s="11">
        <f>SUM(C8:C17)</f>
        <v>2066997</v>
      </c>
    </row>
    <row r="21" spans="1:14" ht="17" thickBot="1" x14ac:dyDescent="0.25">
      <c r="A21" s="24" t="s">
        <v>25</v>
      </c>
    </row>
    <row r="22" spans="1:14" ht="17" thickBot="1" x14ac:dyDescent="0.25">
      <c r="A22" s="25" t="s">
        <v>26</v>
      </c>
      <c r="B22" s="2">
        <f>H8</f>
        <v>13.758419999999999</v>
      </c>
      <c r="D22" s="16" t="s">
        <v>30</v>
      </c>
      <c r="G22" t="s">
        <v>37</v>
      </c>
      <c r="J22" t="s">
        <v>41</v>
      </c>
      <c r="M22" t="s">
        <v>45</v>
      </c>
    </row>
    <row r="23" spans="1:14" x14ac:dyDescent="0.2">
      <c r="A23" s="26" t="s">
        <v>27</v>
      </c>
      <c r="B23" s="3">
        <f>H9</f>
        <v>5.9711800000000004</v>
      </c>
      <c r="D23" s="28" t="s">
        <v>31</v>
      </c>
      <c r="E23" s="8">
        <f>(B22-B23)*G2-K12</f>
        <v>186485.99999999994</v>
      </c>
      <c r="G23" s="28" t="s">
        <v>38</v>
      </c>
      <c r="H23" s="8">
        <f>G2/(B22)^B25</f>
        <v>5135489.9444416426</v>
      </c>
      <c r="J23" s="28" t="s">
        <v>42</v>
      </c>
      <c r="K23" s="8">
        <f>(0.01)*E23</f>
        <v>1864.8599999999994</v>
      </c>
      <c r="M23" s="28" t="s">
        <v>46</v>
      </c>
      <c r="N23" s="8">
        <f>(B22-B23)*(0.99)*G2-K12</f>
        <v>182592.37999999995</v>
      </c>
    </row>
    <row r="24" spans="1:14" ht="16" customHeight="1" thickBot="1" x14ac:dyDescent="0.25">
      <c r="A24" s="9"/>
      <c r="B24" s="3"/>
      <c r="D24" s="29" t="s">
        <v>32</v>
      </c>
      <c r="E24" s="31">
        <f>(B28-B23)*B29-K12</f>
        <v>186361.43607139989</v>
      </c>
      <c r="G24" s="17" t="s">
        <v>39</v>
      </c>
      <c r="H24" s="9">
        <f>(H23/(1+B25))*(B22^(1+B25) - B28^(1+B25))</f>
        <v>6940.5464008518657</v>
      </c>
      <c r="J24" s="17" t="s">
        <v>44</v>
      </c>
      <c r="K24" s="9">
        <f>-K23</f>
        <v>-1864.8599999999994</v>
      </c>
      <c r="M24" s="18" t="s">
        <v>44</v>
      </c>
      <c r="N24" s="10">
        <f>N23-E23</f>
        <v>-3893.6199999999953</v>
      </c>
    </row>
    <row r="25" spans="1:14" ht="17" thickBot="1" x14ac:dyDescent="0.25">
      <c r="A25" s="27" t="s">
        <v>28</v>
      </c>
      <c r="B25" s="3">
        <f>-B22/(B22-B23)</f>
        <v>-1.7667902877014194</v>
      </c>
      <c r="D25" s="29"/>
      <c r="E25" s="31"/>
      <c r="G25" s="18" t="s">
        <v>40</v>
      </c>
      <c r="H25" s="10">
        <f>E27+H24</f>
        <v>6815.9824722518142</v>
      </c>
      <c r="J25" s="17" t="s">
        <v>43</v>
      </c>
      <c r="K25" s="9">
        <f>E23-K23</f>
        <v>184621.13999999996</v>
      </c>
      <c r="M25" s="16"/>
    </row>
    <row r="26" spans="1:14" ht="17" thickBot="1" x14ac:dyDescent="0.25">
      <c r="A26" s="26" t="s">
        <v>29</v>
      </c>
      <c r="B26" s="3">
        <f>-(B25/100)*G2</f>
        <v>883.3951438507097</v>
      </c>
      <c r="D26" s="30"/>
      <c r="E26" s="9"/>
      <c r="J26" s="18" t="s">
        <v>47</v>
      </c>
      <c r="K26" s="10">
        <f>K23+K24</f>
        <v>0</v>
      </c>
      <c r="M26" s="16"/>
    </row>
    <row r="27" spans="1:14" x14ac:dyDescent="0.2">
      <c r="A27" s="9"/>
      <c r="B27" s="3"/>
      <c r="D27" s="17" t="s">
        <v>35</v>
      </c>
      <c r="E27" s="9">
        <f>E24-E23</f>
        <v>-124.56392860005144</v>
      </c>
      <c r="M27" s="16"/>
    </row>
    <row r="28" spans="1:14" ht="17" thickBot="1" x14ac:dyDescent="0.25">
      <c r="A28" s="13" t="s">
        <v>33</v>
      </c>
      <c r="B28" s="3">
        <f>B22*(1-0.01)</f>
        <v>13.620835799999998</v>
      </c>
      <c r="D28" s="18" t="s">
        <v>36</v>
      </c>
      <c r="E28" s="10">
        <f>E27/E23</f>
        <v>-6.679532436754045E-4</v>
      </c>
    </row>
    <row r="29" spans="1:14" ht="17" thickBot="1" x14ac:dyDescent="0.25">
      <c r="A29" s="14" t="s">
        <v>34</v>
      </c>
      <c r="B29" s="4">
        <f>G2+ROUND(B26,0)</f>
        <v>50883</v>
      </c>
    </row>
  </sheetData>
  <mergeCells count="2">
    <mergeCell ref="D24:D25"/>
    <mergeCell ref="E24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2019-09-22T16:58:49Z</dcterms:created>
  <dcterms:modified xsi:type="dcterms:W3CDTF">2019-09-22T19:21:11Z</dcterms:modified>
</cp:coreProperties>
</file>